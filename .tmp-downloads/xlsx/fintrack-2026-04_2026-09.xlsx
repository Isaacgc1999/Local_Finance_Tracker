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en" sheetId="1" r:id="rId1"/>
    <sheet name="Movimientos" sheetId="2" r:id="rId2"/>
    <sheet name="Categorías" sheetId="3" r:id="rId3"/>
  </sheets>
  <definedNames>
    <definedName name="_xlnm._FilterDatabase" localSheetId="1">Movimientos!$A$1:$H$3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.##0,00 &quot;€&quot;;[Red]-#.##0,00 &quot;€&quot;"/>
    <numFmt numFmtId="61" formatCode="0,0%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0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9"/>
  <sheetViews>
    <sheetView workbookViewId="0"/>
  </sheetViews>
  <cols>
    <col min="1" max="1" width="40.83203125" customWidth="1"/>
    <col min="2" max="2" width="16.83203125" customWidth="1"/>
    <col min="3" max="3" width="14.83203125" customWidth="1"/>
  </cols>
  <sheetData>
    <row r="1">
      <c r="A1" t="str">
        <v>Fintrack</v>
      </c>
    </row>
    <row r="2">
      <c r="A2" t="str">
        <v>Informe de finanzas personales</v>
      </c>
    </row>
    <row r="3">
      <c r="A3" t="str">
        <v>Periodo</v>
      </c>
      <c r="B3" t="str">
        <v>01/04/2026 — 30/09/2026</v>
      </c>
    </row>
    <row r="4">
      <c r="A4" t="str">
        <v>Generado el 10 sep 2026</v>
      </c>
    </row>
    <row r="6">
      <c r="A6" t="str">
        <v>Resumen</v>
      </c>
    </row>
    <row r="7">
      <c r="A7" t="str">
        <v>Concepto</v>
      </c>
      <c r="B7" t="str">
        <v>Valor</v>
      </c>
    </row>
    <row r="8">
      <c r="A8" t="str">
        <v>Total ingresos</v>
      </c>
      <c r="B8" s="1">
        <v>0</v>
      </c>
    </row>
    <row r="9">
      <c r="A9" t="str">
        <v>Total gastos</v>
      </c>
      <c r="B9" s="1">
        <v>102.8</v>
      </c>
    </row>
    <row r="10">
      <c r="A10" t="str">
        <v>Balance</v>
      </c>
      <c r="B10" s="1">
        <v>-102.8</v>
      </c>
    </row>
    <row r="11">
      <c r="A11" t="str">
        <v>Ahorro</v>
      </c>
      <c r="B11" s="1">
        <v>0</v>
      </c>
    </row>
    <row r="12">
      <c r="A12" t="str">
        <v>Inversión</v>
      </c>
      <c r="B12" s="1">
        <v>0</v>
      </c>
    </row>
    <row r="13">
      <c r="A13" t="str">
        <v>Tasa de ahorro</v>
      </c>
      <c r="B13" t="str">
        <v>—</v>
      </c>
    </row>
    <row r="14">
      <c r="A14" t="str">
        <v>Gasto sobre ingresos</v>
      </c>
      <c r="B14" t="str">
        <v>—</v>
      </c>
    </row>
    <row r="15">
      <c r="A15" t="str">
        <v>Gasto medio diario</v>
      </c>
      <c r="B15" s="1">
        <v>0.56</v>
      </c>
    </row>
    <row r="16">
      <c r="A16" t="str">
        <v>Gasto medio por movimiento</v>
      </c>
      <c r="B16" s="1">
        <v>51.4</v>
      </c>
    </row>
    <row r="17">
      <c r="A17" t="str">
        <v>Mediana por movimiento</v>
      </c>
      <c r="B17" s="1">
        <v>51.4</v>
      </c>
    </row>
    <row r="18">
      <c r="A18" t="str">
        <v>Variación frente a la media de 3 periodos</v>
      </c>
      <c r="B18" t="str">
        <v>—</v>
      </c>
    </row>
    <row r="19">
      <c r="A19" t="str">
        <v>Desviación típica del gasto</v>
      </c>
      <c r="B19" s="1">
        <v>0</v>
      </c>
    </row>
    <row r="20">
      <c r="A20" t="str">
        <v>Saldo acumulado al cierre</v>
      </c>
      <c r="B20" s="1">
        <v>-102.8</v>
      </c>
    </row>
    <row r="21">
      <c r="A21" t="str">
        <v>Movimientos</v>
      </c>
      <c r="B21" t="str">
        <v>2</v>
      </c>
    </row>
    <row r="22">
      <c r="A22" t="str">
        <v>Días del periodo</v>
      </c>
      <c r="B22" t="str">
        <v>183</v>
      </c>
    </row>
    <row r="24">
      <c r="A24" t="str">
        <v>Desglose por tipo de gasto</v>
      </c>
    </row>
    <row r="25">
      <c r="A25" t="str">
        <v>Tipo</v>
      </c>
      <c r="B25" t="str">
        <v>Importe</v>
      </c>
      <c r="C25" t="str">
        <v>% del gasto</v>
      </c>
    </row>
    <row r="26">
      <c r="A26" t="str">
        <v>Fijo</v>
      </c>
      <c r="B26" s="1">
        <v>0</v>
      </c>
      <c r="C26" t="str">
        <v>0,0 %</v>
      </c>
    </row>
    <row r="27">
      <c r="A27" t="str">
        <v>Variable</v>
      </c>
      <c r="B27" s="1">
        <v>102.8</v>
      </c>
      <c r="C27" t="str">
        <v>100,0 %</v>
      </c>
    </row>
    <row r="28">
      <c r="A28" t="str">
        <v>Ocio</v>
      </c>
      <c r="B28" s="1">
        <v>0</v>
      </c>
      <c r="C28" t="str">
        <v>0,0 %</v>
      </c>
    </row>
    <row r="29">
      <c r="A29" t="str">
        <v>Suscripciones</v>
      </c>
      <c r="B29" s="1">
        <v>0</v>
      </c>
      <c r="C29" t="str">
        <v>0,0 %</v>
      </c>
    </row>
  </sheetData>
  <ignoredErrors>
    <ignoredError numberStoredAsText="1" sqref="A1:C2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cols>
    <col min="1" max="1" width="14.83203125" customWidth="1"/>
    <col min="2" max="2" width="14.83203125" customWidth="1"/>
    <col min="3" max="3" width="34.83203125" customWidth="1"/>
    <col min="4" max="4" width="18.83203125" customWidth="1"/>
    <col min="5" max="5" width="14.83203125" customWidth="1"/>
    <col min="6" max="6" width="16.83203125" customWidth="1"/>
    <col min="7" max="7" width="14.83203125" customWidth="1"/>
    <col min="8" max="8" width="40.83203125" customWidth="1"/>
  </cols>
  <sheetData>
    <row r="1">
      <c r="A1" t="str">
        <v>Fecha</v>
      </c>
      <c r="B1" t="str">
        <v>Tipo</v>
      </c>
      <c r="C1" t="str">
        <v>Concepto</v>
      </c>
      <c r="D1" t="str">
        <v>Categoría</v>
      </c>
      <c r="E1" t="str">
        <v>Naturaleza</v>
      </c>
      <c r="F1" t="str">
        <v>Método de pago</v>
      </c>
      <c r="G1" t="str">
        <v>Importe</v>
      </c>
      <c r="H1" t="str">
        <v>Notas</v>
      </c>
    </row>
    <row r="2">
      <c r="A2" t="str">
        <v>10 sep 2026</v>
      </c>
      <c r="B2" t="str">
        <v>Gasto</v>
      </c>
      <c r="C2" t="str">
        <v>Gasolinera</v>
      </c>
      <c r="D2" t="str">
        <v>Alimentación</v>
      </c>
      <c r="E2" t="str">
        <v>Variable</v>
      </c>
      <c r="F2" t="str">
        <v/>
      </c>
      <c r="G2" s="1">
        <v>-54.2</v>
      </c>
      <c r="H2" t="str">
        <v/>
      </c>
    </row>
    <row r="3">
      <c r="A3" t="str">
        <v>10 sep 2026</v>
      </c>
      <c r="B3" t="str">
        <v>Gasto</v>
      </c>
      <c r="C3" t="str">
        <v>Mercadona</v>
      </c>
      <c r="D3" t="str">
        <v>Alimentación</v>
      </c>
      <c r="E3" t="str">
        <v>Variable</v>
      </c>
      <c r="F3" t="str">
        <v/>
      </c>
      <c r="G3" s="1">
        <v>-48.6</v>
      </c>
      <c r="H3" t="str">
        <v/>
      </c>
    </row>
    <row r="4">
      <c r="A4" t="str">
        <v>Total</v>
      </c>
      <c r="G4" s="1">
        <f>SUM(G2:G3)</f>
        <v>-102.8</v>
      </c>
    </row>
  </sheetData>
  <autoFilter ref="A1:H3"/>
  <ignoredErrors>
    <ignoredError numberStoredAsText="1" sqref="A1:H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cols>
    <col min="1" max="1" width="24.83203125" customWidth="1"/>
    <col min="2" max="2" width="8.83203125" customWidth="1"/>
    <col min="3" max="3" width="14.83203125" customWidth="1"/>
    <col min="4" max="4" width="12.83203125" customWidth="1"/>
    <col min="5" max="5" width="12.83203125" customWidth="1"/>
    <col min="6" max="6" width="14.83203125" customWidth="1"/>
    <col min="7" max="7" width="14.83203125" customWidth="1"/>
  </cols>
  <sheetData>
    <row r="1">
      <c r="A1" t="str">
        <v>Categoría</v>
      </c>
      <c r="B1" t="str">
        <v>Nº</v>
      </c>
      <c r="C1" t="str">
        <v>Total</v>
      </c>
      <c r="D1" t="str">
        <v>% gasto</v>
      </c>
      <c r="E1" t="str">
        <v>% ingresos</v>
      </c>
      <c r="F1" t="str">
        <v>Media</v>
      </c>
      <c r="G1" t="str">
        <v>Var. periodo</v>
      </c>
    </row>
    <row r="2">
      <c r="A2" t="str">
        <v>Alimentación</v>
      </c>
      <c r="B2">
        <v>2</v>
      </c>
      <c r="C2" s="1">
        <v>102.8</v>
      </c>
      <c r="D2" s="2">
        <v>1</v>
      </c>
      <c r="E2" s="2">
        <v>0</v>
      </c>
      <c r="F2" s="1">
        <v>51.4</v>
      </c>
      <c r="G2" s="2">
        <v>0</v>
      </c>
    </row>
    <row r="3">
      <c r="A3" t="str">
        <v>Total</v>
      </c>
      <c r="B3">
        <f>SUM(B2:B2)</f>
        <v>2</v>
      </c>
      <c r="C3" s="1">
        <f>SUM(C2:C2)</f>
        <v>102.8</v>
      </c>
      <c r="D3" s="2">
        <f>SUM(D2:D2)</f>
        <v>1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Resumen</vt:lpstr>
      <vt:lpstr>Movimientos</vt:lpstr>
      <vt:lpstr>Categorías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